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ísEncerrabodes\Desktop\"/>
    </mc:Choice>
  </mc:AlternateContent>
  <xr:revisionPtr revIDLastSave="0" documentId="13_ncr:1_{530BACB8-50A3-4E64-BFA7-58E06C66C01B}" xr6:coauthVersionLast="47" xr6:coauthVersionMax="47" xr10:uidLastSave="{00000000-0000-0000-0000-000000000000}"/>
  <bookViews>
    <workbookView xWindow="-108" yWindow="-108" windowWidth="23256" windowHeight="12576" tabRatio="990" activeTab="1" xr2:uid="{00000000-000D-0000-FFFF-FFFF00000000}"/>
  </bookViews>
  <sheets>
    <sheet name="User Stories Cover" sheetId="1" r:id="rId1"/>
    <sheet name="User Stories" sheetId="3" r:id="rId2"/>
  </sheets>
  <definedNames>
    <definedName name="_xlnm._FilterDatabase" localSheetId="0" hidden="1">'User Stories Cover'!#REF!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3" l="1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A2" i="3" l="1"/>
</calcChain>
</file>

<file path=xl/sharedStrings.xml><?xml version="1.0" encoding="utf-8"?>
<sst xmlns="http://schemas.openxmlformats.org/spreadsheetml/2006/main" count="197" uniqueCount="168">
  <si>
    <t>Depart.</t>
  </si>
  <si>
    <t>Descrição</t>
  </si>
  <si>
    <t>Doc. Type</t>
  </si>
  <si>
    <t>TYPE</t>
  </si>
  <si>
    <t>Doc. Number</t>
  </si>
  <si>
    <t>Doc. Code</t>
  </si>
  <si>
    <t>Department</t>
  </si>
  <si>
    <t>Creation Date</t>
  </si>
  <si>
    <t>Revision and Approval History</t>
  </si>
  <si>
    <t>Document Creation</t>
  </si>
  <si>
    <t>Revision No.</t>
  </si>
  <si>
    <t>Date</t>
  </si>
  <si>
    <t>Made by</t>
  </si>
  <si>
    <t>Confidentiality Policy</t>
  </si>
  <si>
    <t>Approved by</t>
  </si>
  <si>
    <t>UserStories2Configuration</t>
  </si>
  <si>
    <t>1</t>
  </si>
  <si>
    <t>Engineering, Operations and Commercial</t>
  </si>
  <si>
    <t>Pedro Araújo</t>
  </si>
  <si>
    <t>2019-08-20</t>
  </si>
  <si>
    <t>Description</t>
  </si>
  <si>
    <t>Name</t>
  </si>
  <si>
    <t>Selected (X)</t>
  </si>
  <si>
    <t>Regeneration</t>
  </si>
  <si>
    <t>Configuration Value</t>
  </si>
  <si>
    <t>Configuration Range</t>
  </si>
  <si>
    <t>-</t>
  </si>
  <si>
    <t>Generator is installed in vehicle and will recover energy when vehicle is moving</t>
  </si>
  <si>
    <t>Trailer box</t>
  </si>
  <si>
    <t>Ecodrive</t>
  </si>
  <si>
    <t>Minimum SoC</t>
  </si>
  <si>
    <t>If minimum SoC should be limited to a value different than 20%</t>
  </si>
  <si>
    <t>Minimum SoC percentage, between 20 and 80 (%)</t>
  </si>
  <si>
    <t>Type</t>
  </si>
  <si>
    <t>Hardware</t>
  </si>
  <si>
    <t>Functionality</t>
  </si>
  <si>
    <t>Disable reverse grid alarm</t>
  </si>
  <si>
    <t>Code</t>
  </si>
  <si>
    <t>TRL</t>
  </si>
  <si>
    <t>If more than 1 is selected, then it must be joined by a "-".</t>
  </si>
  <si>
    <t>E.g.:</t>
  </si>
  <si>
    <t>- 020103_Firmware_MC_GEN4</t>
  </si>
  <si>
    <t>Disable auto start on grid</t>
  </si>
  <si>
    <r>
      <t xml:space="preserve">By default, the Remote Controller blinks and beeps if grid is with wrong phase order.
Select this functionality to </t>
    </r>
    <r>
      <rPr>
        <b/>
        <sz val="11"/>
        <color rgb="FF000000"/>
        <rFont val="Calibri"/>
        <family val="2"/>
        <charset val="1"/>
      </rPr>
      <t>block</t>
    </r>
    <r>
      <rPr>
        <sz val="11"/>
        <color rgb="FF000000"/>
        <rFont val="Calibri"/>
        <family val="2"/>
        <charset val="1"/>
      </rPr>
      <t xml:space="preserve"> that function.</t>
    </r>
  </si>
  <si>
    <r>
      <t xml:space="preserve">By default, the system starts charging from grid automatically after 30 seconds.
Select this functionality to </t>
    </r>
    <r>
      <rPr>
        <b/>
        <sz val="11"/>
        <color rgb="FF000000"/>
        <rFont val="Calibri"/>
        <family val="2"/>
        <charset val="1"/>
      </rPr>
      <t>block</t>
    </r>
    <r>
      <rPr>
        <sz val="11"/>
        <color rgb="FF000000"/>
        <rFont val="Calibri"/>
        <family val="2"/>
        <charset val="1"/>
      </rPr>
      <t xml:space="preserve"> that function.</t>
    </r>
  </si>
  <si>
    <t>Engineering instructions:</t>
  </si>
  <si>
    <t>ID</t>
  </si>
  <si>
    <t>Extra MLU for temperature measurements</t>
  </si>
  <si>
    <t>TPSLAVE</t>
  </si>
  <si>
    <t>Ricardo Soares</t>
  </si>
  <si>
    <t>2019-10-25</t>
  </si>
  <si>
    <t>Double DC</t>
  </si>
  <si>
    <t>When ADD system is discharging, a second controller shares part of the DC load</t>
  </si>
  <si>
    <t>US2C_1</t>
  </si>
  <si>
    <t>US2C_2</t>
  </si>
  <si>
    <t>US2C_3</t>
  </si>
  <si>
    <t>US2C_4</t>
  </si>
  <si>
    <t>US2C_5</t>
  </si>
  <si>
    <t>US2C_6</t>
  </si>
  <si>
    <t>US2C_7</t>
  </si>
  <si>
    <t>US2C_8</t>
  </si>
  <si>
    <t>US2C_9</t>
  </si>
  <si>
    <t>US2C_10</t>
  </si>
  <si>
    <t>US2C_11</t>
  </si>
  <si>
    <t>US2C_12</t>
  </si>
  <si>
    <t>US2C_13</t>
  </si>
  <si>
    <t>US2C_14</t>
  </si>
  <si>
    <t>US2C_15</t>
  </si>
  <si>
    <t>US2C_16</t>
  </si>
  <si>
    <t>US2C_17</t>
  </si>
  <si>
    <t>US2C_18</t>
  </si>
  <si>
    <t>US2C_19</t>
  </si>
  <si>
    <t>US2C_20</t>
  </si>
  <si>
    <t>US2C_21</t>
  </si>
  <si>
    <t>External Telematics version</t>
  </si>
  <si>
    <t>NO_GRID_START</t>
  </si>
  <si>
    <t>NO_REVERSE_ALARM</t>
  </si>
  <si>
    <t>- 020103_Firmware_LC_TRL-ECO</t>
  </si>
  <si>
    <t>- 020300_Firmware_MLU_ECO-TPR-NO_REVERSE_ALARM</t>
  </si>
  <si>
    <t>User Story number</t>
  </si>
  <si>
    <t>User Story flag</t>
  </si>
  <si>
    <t>ConfigurationNumber</t>
  </si>
  <si>
    <t>US2C_22</t>
  </si>
  <si>
    <t>US2C_23</t>
  </si>
  <si>
    <t>Special reefer / load</t>
  </si>
  <si>
    <t>Limits power on grid to chosen current</t>
  </si>
  <si>
    <t>Grid current limit</t>
  </si>
  <si>
    <t>Custom CAN protocol</t>
  </si>
  <si>
    <t>Special installation</t>
  </si>
  <si>
    <t>Grid RMS current (Arms)</t>
  </si>
  <si>
    <t>Heating setup</t>
  </si>
  <si>
    <t>- 1 for Heating Mats on FIBO's NTC2</t>
  </si>
  <si>
    <t>Defines if heating devices for cool wheather are installed (e.g. Heat mats)</t>
  </si>
  <si>
    <t>Adds compatibility to specific trailer units / other loads.
May reduce compatibility with standard reefer units</t>
  </si>
  <si>
    <t>- 0 for using DC arm
- 1 for for using IA arm
- 2 for using IB arm
- 3 for using IC arm</t>
  </si>
  <si>
    <t>LV regulator</t>
  </si>
  <si>
    <t>Additional low voltage output</t>
  </si>
  <si>
    <t>For systems where the MLU is outside the driver's cabin</t>
  </si>
  <si>
    <t>When there is a generator connected to the grid input of AddVolt system</t>
  </si>
  <si>
    <t>For choosing the right configuration of the telematics</t>
  </si>
  <si>
    <t>For non-standard AddVolt protocol extensions</t>
  </si>
  <si>
    <t>Energy source</t>
  </si>
  <si>
    <t>-1 for ePTO</t>
  </si>
  <si>
    <t>Standard units connect to internal battery. This configuration allows definition of alternative energy source:
ePTO / Stationary / Hydrogen...</t>
  </si>
  <si>
    <t>- 1 for charging with low current from Ecodrive
- 2 for never charging from Ecodrive
- 3 to charge from Ecodrive only when the Reefer is off
- 4 to limit combined current to 16Arms. If reefer pulls more than 16Arms, pulls 2Arms</t>
  </si>
  <si>
    <t>- 1 for Radiator fans controlled by MLU on OUT1
- 2 for Ecodrive reset line connected to MLU OUT1</t>
  </si>
  <si>
    <t>Go to "Orders&amp;Production" file and mark with an 'X' the correct User Stories in the "Selected (X)" column</t>
  </si>
  <si>
    <t>Whenever necessary, an additional value may be needed to the column in the right (it will light in red when necessary)</t>
  </si>
  <si>
    <t>After carefully selecting all User Stories and Configuration Values, press the one of the "Confirm User Stories" buttons.</t>
  </si>
  <si>
    <t>A prompt will be opened to select the Save destination of the configuration file. The correct name is already filled in.</t>
  </si>
  <si>
    <t>After saving the new file, the code to paste in the Firmwares is automatically copied to the clipboard. Simply go to "UserStories2Configuration.h" and Ctrl+V in the marked zone.</t>
  </si>
  <si>
    <t>Update the release number, build code and name the file as explained below:</t>
  </si>
  <si>
    <t>Configurations are included in the firmware name.</t>
  </si>
  <si>
    <t>EN</t>
  </si>
  <si>
    <t>SPDC</t>
  </si>
  <si>
    <t>GEN</t>
  </si>
  <si>
    <t>IG</t>
  </si>
  <si>
    <t>INST</t>
  </si>
  <si>
    <t>ECO</t>
  </si>
  <si>
    <t>LV</t>
  </si>
  <si>
    <t>MSOC</t>
  </si>
  <si>
    <t>HEAT</t>
  </si>
  <si>
    <t>2DC</t>
  </si>
  <si>
    <t>TLK</t>
  </si>
  <si>
    <t>CAN</t>
  </si>
  <si>
    <t>Special wiring on the vehicle (OUT1 connection)</t>
  </si>
  <si>
    <t>SPLOAD</t>
  </si>
  <si>
    <t>- 1 for Slave</t>
  </si>
  <si>
    <t>ONOFF</t>
  </si>
  <si>
    <t>Custom ON OFF method</t>
  </si>
  <si>
    <t>To use a diifferent mechanism for turning the system ON and OFF, other than standard remote or green button</t>
  </si>
  <si>
    <t>Single Phase</t>
  </si>
  <si>
    <t>Charges single phase with different DC loads</t>
  </si>
  <si>
    <t>AC output disabled</t>
  </si>
  <si>
    <t>NO_AC_OUT</t>
  </si>
  <si>
    <t>- 1 for SLXi
- 2 for Container
- 3 for No_motor_start
- 4 for Low Power Units
- 5 for Mitsubishi DC (lowers VDC voltage from 500V to 380V)
- 6 for PMSM
- 7 for Vector units
- 8 for EV charger
- 9 for 6-pulse-rectifiers (VFDs / Milk pumps…)
- 10 for Mitsubishi DC Battery</t>
  </si>
  <si>
    <t>- 1 for 500VDC or 380VDC (see US2C_17 #3)
- 2 for 700 VDC</t>
  </si>
  <si>
    <t>To disable AC output</t>
  </si>
  <si>
    <t>Remote Controller lights versions</t>
  </si>
  <si>
    <t>Previously only used for the "HAVI_COLORS". It defines alternative color schemes for the remote / display</t>
  </si>
  <si>
    <t>- 1 for HAVI COLORS (SoC always visible)
- 2 for indication of cold batteries / heatmats</t>
  </si>
  <si>
    <t>LIGHTS</t>
  </si>
  <si>
    <t>Custom grid interaction</t>
  </si>
  <si>
    <t>Changes how the system reacts when voltage in the grid terminals is detected</t>
  </si>
  <si>
    <t>- 1 for immediate switch to grid when detected</t>
  </si>
  <si>
    <t>GRID</t>
  </si>
  <si>
    <t>w</t>
  </si>
  <si>
    <t>Output voltage</t>
  </si>
  <si>
    <t>Specifies voltage level and frequency if not standard (230V/400V/50Hz)</t>
  </si>
  <si>
    <t>- 1 for 480V/60Hz</t>
  </si>
  <si>
    <t>OUTVF</t>
  </si>
  <si>
    <t>- 1 for Autostart signal (reefer request)</t>
  </si>
  <si>
    <t xml:space="preserve"> - 1 for disabling AC output when not charging
- 2 for disabling AC when vehicle is in diesel.</t>
  </si>
  <si>
    <t>3rd Party Controller Support</t>
  </si>
  <si>
    <t>Adds compatibility to external controllers connected to AddVolt system</t>
  </si>
  <si>
    <t>CON</t>
  </si>
  <si>
    <t>- 1 for EPC converter on HDC</t>
  </si>
  <si>
    <t>- 1 for Iveco radio 50kbps
 - 2 for FrigoBlock
- 3 for SAF_EBS
- 4 for Scania Hybrid Truck
- 5 for Truck (CAN1) + Frigoblock (CAN2)
- 6 for MAN electric</t>
  </si>
  <si>
    <t>- 1 for Teltonika + external GPS
- 2 for Teltonika with internal GPS</t>
  </si>
  <si>
    <t>- 1 for EMRAX 228 MV
- 2 for Vogel VP082 - TDS 172FA-60.120
- 3 for Parker GVM142-100-ZQW
- 4 for EMRAX 188 HV
- 5 for Nidec Induction
- 6 for MC as voltage source
- 7 for Magelec
- 8 for Nidec Induction 15kW
- 9 for AEM SRM
add '16' for v_sense instead of encoder</t>
  </si>
  <si>
    <t xml:space="preserve"> - 1 for 12V
- 2 for 24V (28V SP)
- 3 for Regulator Connected to FIBOhit output
- 4 for 24V controlling the radiator fans (25V SP)
- 5 for 24V (25V SP)</t>
  </si>
  <si>
    <t>(LEGACY) For connection of additional MLU to temperature recorders.
Note: selecting the right node is enough for the MLUE, no need for this userstory in up-to-date firmwares</t>
  </si>
  <si>
    <t>LC / MC / LCB / LCR / LCRB / MLUE / Notes</t>
  </si>
  <si>
    <t>x</t>
  </si>
  <si>
    <t>LC/MLU</t>
  </si>
  <si>
    <t>0x1158945</t>
  </si>
  <si>
    <t>_TRL-LV2-SPLOAD7-TLK2-CAN2</t>
  </si>
  <si>
    <t>#define CFG_REQ 3211424_x000D_
_x000D_
_x000D_
/*_x000D_
Energy source - Not Selected_x000D_
*/_x000D_
_x000D_
/*_x000D_
Single Phase - Not Selected_x000D_
*/_x000D_
_x000D_
/*_x000D_
Regeneration - Not Selected_x000D_
*/_x000D_
_x000D_
/*_x000D_
Grid current limit - Not Selected_x000D_
*/_x000D_
_x000D_
/*_x000D_
Special installation - Not Selected_x000D_
*/_x000D_
_x000D_
/*_x000D_
Trailer box_x000D_
-_x000D_
*/_x000D_
#define US2C_6_x000D_
_x000D_
/*_x000D_
Ecodrive - Not Selected_x000D_
*/_x000D_
_x000D_
/*_x000D_
LV regulator_x000D_
 - 1 for 12V
- 2 for 24V (28V SP)
- 3 for Regulator Connected to FIBOhit output
- 4 for 24V controlling the radiator fans (25V SP)
- 5 for 24V (25V SP)_x000D_
*/_x000D_
#define US2C_8 2_x000D_
_x000D_
/*_x000D_
Extra MLU for temperature measurements - Not Selected_x000D_
*/_x000D_
_x000D_
/*_x000D_
Minimum SoC - Not Selected_x000D_
*/_x000D_
_x000D_
/*_x000D_
Remote Controller lights versions - Not Selected_x000D_
*/_x000D_
_x000D_
/*_x000D_
Disable auto start on grid - Not Selected_x000D_
*/_x000D_
_x000D_
/*_x000D_
Disable reverse grid alarm - Not Selected_x000D_
*/_x000D_
_x000D_
/*_x000D_
Custom ON OFF method - Not Selected_x000D_
*/_x000D_
_x000D_
/*_x000D_
AC output disabled - Not Selected_x000D_
*/_x000D_
_x000D_
/*_x000D_
Custom grid interaction - Not Selected_x000D_
*/_x000D_
_x000D_
/*_x000D_
Special reefer / load_x000D_
- 1 for SLXi
- 2 for Container
- 3 for No_motor_start
- 4 for Low Power Units
- 5 for Mitsubishi DC (lowers VDC voltage from 500V to 380V)
- 6 for PMSM
- 7 for Vector units
- 8 for EV charger
- 9 for 6-pulse-rectifiers (VFDs / Milk pumps…)
- 10 for Mitsubishi DC Battery_x000D_
*/_x000D_
#define US2C_17 7_x000D_
_x000D_
/*_x000D_
Heating setup - Not Selected_x000D_
*/_x000D_
_x000D_
/*_x000D_
Output voltage - Not Selected_x000D_
*/_x000D_
_x000D_
/*_x000D_
Double DC - Not Selected_x000D_
*/_x000D_
_x000D_
/*_x000D_
External Telematics version_x000D_
- 1 for Teltonika + external GPS
- 2 for Teltonika with internal GPS_x000D_
*/_x000D_
#define US2C_21 2_x000D_
_x000D_
/*_x000D_
Custom CAN protocol_x000D_
- 1 for Iveco radio 50kbps
 - 2 for FrigoBlock
- 3 for SAF_EBS
- 4 for Scania Hybrid Truck
- 5 for Truck (CAN1) + Frigoblock (CAN2)
- 6 for MAN electric_x000D_
*/_x000D_
#define US2C_22 2_x000D_
_x000D_
/*_x000D_
3rd Party Controller Support - Not Selected_x000D_
*/_x000D_
_x000D_
#define CFG_CRC32 0x1158945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</si>
</sst>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rgb="FF000000"/>
      <name val="Calibri"/>
      <family val="2"/>
      <charset val="1"/>
    </font>
    <font>
      <sz val="14"/>
      <color rgb="FF000000"/>
      <name val="Century Gothic"/>
      <family val="2"/>
    </font>
    <font>
      <sz val="11"/>
      <color rgb="FF000000"/>
      <name val="Calibri"/>
      <family val="2"/>
      <scheme val="minor"/>
    </font>
    <font>
      <sz val="14"/>
      <color rgb="FF000000"/>
      <name val="Montserrat Light"/>
      <family val="3"/>
    </font>
    <font>
      <sz val="8"/>
      <color rgb="FF000000"/>
      <name val="Montserrat Light"/>
      <family val="3"/>
    </font>
    <font>
      <b/>
      <sz val="11"/>
      <name val="Montserrat ExtraLight"/>
    </font>
    <font>
      <sz val="11"/>
      <name val="Montserrat ExtraLight"/>
    </font>
    <font>
      <sz val="11"/>
      <color rgb="FF000000"/>
      <name val="Montserrat ExtraLight"/>
    </font>
    <font>
      <sz val="12"/>
      <color rgb="FFFF3300"/>
      <name val="Montserrat Medium"/>
    </font>
    <font>
      <b/>
      <sz val="11"/>
      <color rgb="FF000000"/>
      <name val="Calibri"/>
      <family val="2"/>
      <charset val="1"/>
    </font>
    <font>
      <sz val="11"/>
      <color rgb="FF000000"/>
      <name val="Montserrat Light"/>
      <family val="3"/>
    </font>
    <font>
      <b/>
      <sz val="11"/>
      <color rgb="FF000000"/>
      <name val="Montserrat Light"/>
      <family val="3"/>
    </font>
    <font>
      <b/>
      <sz val="11"/>
      <color rgb="FF000000"/>
      <name val="Calibri"/>
      <family val="2"/>
    </font>
    <font>
      <sz val="8"/>
      <name val="Calibri"/>
      <family val="2"/>
      <charset val="1"/>
    </font>
    <font>
      <b/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4C00"/>
        <bgColor indexed="64"/>
      </patternFill>
    </fill>
  </fills>
  <borders count="18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 applyAlignment="1"/>
    <xf numFmtId="0" fontId="2" fillId="2" borderId="0" xfId="0" applyFont="1" applyFill="1"/>
    <xf numFmtId="0" fontId="1" fillId="2" borderId="0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right" vertical="center"/>
    </xf>
    <xf numFmtId="0" fontId="4" fillId="2" borderId="4" xfId="0" applyFont="1" applyFill="1" applyBorder="1" applyAlignment="1">
      <alignment horizontal="right" vertical="center"/>
    </xf>
    <xf numFmtId="0" fontId="4" fillId="2" borderId="5" xfId="0" applyFont="1" applyFill="1" applyBorder="1" applyAlignment="1">
      <alignment horizontal="right" vertical="center"/>
    </xf>
    <xf numFmtId="49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4" fontId="4" fillId="0" borderId="1" xfId="0" quotePrefix="1" applyNumberFormat="1" applyFont="1" applyFill="1" applyBorder="1" applyAlignment="1">
      <alignment horizontal="center" vertical="center" wrapText="1"/>
    </xf>
    <xf numFmtId="1" fontId="6" fillId="0" borderId="1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left"/>
    </xf>
    <xf numFmtId="0" fontId="11" fillId="0" borderId="0" xfId="0" applyFont="1"/>
    <xf numFmtId="0" fontId="12" fillId="3" borderId="13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15" xfId="0" applyFont="1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12" xfId="0" quotePrefix="1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  <protection locked="0"/>
    </xf>
    <xf numFmtId="0" fontId="0" fillId="2" borderId="17" xfId="0" applyFill="1" applyBorder="1" applyAlignment="1" applyProtection="1">
      <alignment horizontal="center" vertical="center" wrapText="1"/>
      <protection locked="0"/>
    </xf>
    <xf numFmtId="0" fontId="10" fillId="0" borderId="0" xfId="0" quotePrefix="1" applyFont="1"/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4" fillId="4" borderId="0" xfId="0" applyFont="1" applyFill="1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0" fillId="3" borderId="17" xfId="0" quotePrefix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14" fontId="7" fillId="0" borderId="10" xfId="0" quotePrefix="1" applyNumberFormat="1" applyFont="1" applyFill="1" applyBorder="1" applyAlignment="1">
      <alignment horizontal="center"/>
    </xf>
    <xf numFmtId="14" fontId="7" fillId="0" borderId="11" xfId="0" quotePrefix="1" applyNumberFormat="1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49" fontId="5" fillId="2" borderId="1" xfId="0" applyNumberFormat="1" applyFont="1" applyFill="1" applyBorder="1" applyAlignment="1">
      <alignment horizontal="center" vertical="center" wrapText="1"/>
    </xf>
    <xf numFmtId="49" fontId="6" fillId="0" borderId="1" xfId="0" quotePrefix="1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18"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fill>
        <patternFill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 textRotation="0" wrapText="1" indent="0" justifyLastLine="0" shrinkToFit="0" readingOrder="0"/>
    </dxf>
    <dxf>
      <border>
        <bottom style="thin">
          <color theme="0"/>
        </bottom>
      </border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3333"/>
      <rgbColor rgb="FF666699"/>
      <rgbColor rgb="FFB2B2B2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4C00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130629</xdr:colOff>
      <xdr:row>2</xdr:row>
      <xdr:rowOff>141514</xdr:rowOff>
    </xdr:from>
    <xdr:to>
      <xdr:col>0</xdr:col>
      <xdr:colOff>1390304</xdr:colOff>
      <xdr:row>3</xdr:row>
      <xdr:rowOff>58238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629" y="522514"/>
          <a:ext cx="1273010" cy="108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68580</xdr:rowOff>
        </xdr:from>
        <xdr:to>
          <xdr:col>0</xdr:col>
          <xdr:colOff>1409700</xdr:colOff>
          <xdr:row>3</xdr:row>
          <xdr:rowOff>685800</xdr:rowOff>
        </xdr:to>
        <xdr:sp macro="" textlink="">
          <xdr:nvSpPr>
            <xdr:cNvPr id="2049" name="ConfirmBu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251460</xdr:colOff>
          <xdr:row>24</xdr:row>
          <xdr:rowOff>76200</xdr:rowOff>
        </xdr:from>
        <xdr:to>
          <xdr:col>5</xdr:col>
          <xdr:colOff>769620</xdr:colOff>
          <xdr:row>27</xdr:row>
          <xdr:rowOff>144780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0839FEC-DC26-4DD6-BC49-13A68B30E65F}" name="Table13" displayName="Table13" ref="B1:K24" totalsRowShown="0" headerRowDxfId="14" dataDxfId="12" headerRowBorderDxfId="13" tableBorderDxfId="11" totalsRowBorderDxfId="10">
  <sortState xmlns:xlrd2="http://schemas.microsoft.com/office/spreadsheetml/2017/richdata2" ref="B2:L20">
    <sortCondition ref="B1:B20"/>
  </sortState>
  <tableColumns count="10">
    <tableColumn id="1" xr3:uid="{E541B06F-52B6-4C0E-A65F-5DF0E7C02EF0}" name="ID" dataDxfId="9"/>
    <tableColumn id="2" xr3:uid="{6C551866-2574-44F7-B096-4C27D677371F}" name="Name" dataDxfId="8"/>
    <tableColumn id="3" xr3:uid="{86AF69F0-3723-4B82-9BE8-31E53F60F255}" name="Description" dataDxfId="7"/>
    <tableColumn id="4" xr3:uid="{D36A245E-A0E8-4047-8BC9-3E3DDEC00CE6}" name="Selected (X)" dataDxfId="6"/>
    <tableColumn id="5" xr3:uid="{DE01259A-ED5C-4191-90C6-FB2EECF66776}" name="Configuration Value" dataDxfId="5"/>
    <tableColumn id="6" xr3:uid="{FB3CBF06-428E-4089-8005-3092F2F917AC}" name="Configuration Range" dataDxfId="4"/>
    <tableColumn id="7" xr3:uid="{3D59693D-2ACA-4E34-9157-8ECE712F2FA0}" name="Type" dataDxfId="3"/>
    <tableColumn id="8" xr3:uid="{A7857052-C1E9-471A-8FF6-0D7F78A1483D}" name="Code" dataDxfId="2"/>
    <tableColumn id="9" xr3:uid="{2FC6E0B5-A7F9-41C6-800F-66E41271DD22}" name="User Story number" dataDxfId="1"/>
    <tableColumn id="10" xr3:uid="{77D8B987-4B19-4F97-B506-F9A112DA1D3D}" name="User Story flag" dataDxfId="0">
      <calculatedColumnFormula>IF(Table13[[#This Row],[Selected (X)]]="X",2^(Table13[[#This Row],[User Story number]]-1),0)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38"/>
  <sheetViews>
    <sheetView showGridLines="0" zoomScaleNormal="100" workbookViewId="0">
      <selection activeCell="B24" sqref="B24"/>
    </sheetView>
  </sheetViews>
  <sheetFormatPr defaultRowHeight="14.4" customHeight="1"/>
  <cols>
    <col min="1" max="1" width="22.44140625" customWidth="1"/>
    <col min="2" max="2" width="22.21875" bestFit="1" customWidth="1"/>
    <col min="3" max="3" width="41.44140625" customWidth="1"/>
    <col min="4" max="4" width="15.88671875"/>
    <col min="5" max="5" width="16.44140625"/>
    <col min="6" max="6" width="38.6640625" customWidth="1"/>
    <col min="7" max="7" width="17.6640625"/>
    <col min="8" max="8" width="19" customWidth="1"/>
  </cols>
  <sheetData>
    <row r="1" spans="1:8">
      <c r="A1" s="1"/>
      <c r="B1" s="1"/>
      <c r="C1" s="1"/>
      <c r="D1" s="1"/>
      <c r="E1" s="1"/>
      <c r="F1" s="1"/>
      <c r="G1" s="1"/>
      <c r="H1" s="1"/>
    </row>
    <row r="2" spans="1:8" ht="15" customHeight="1">
      <c r="A2" s="1"/>
      <c r="B2" s="34" t="s">
        <v>15</v>
      </c>
      <c r="C2" s="35"/>
      <c r="D2" s="35"/>
      <c r="E2" s="35"/>
      <c r="F2" s="36"/>
      <c r="G2" s="4" t="s">
        <v>2</v>
      </c>
      <c r="H2" s="11" t="s">
        <v>3</v>
      </c>
    </row>
    <row r="3" spans="1:8" ht="15" customHeight="1">
      <c r="A3" s="1"/>
      <c r="B3" s="37"/>
      <c r="C3" s="38"/>
      <c r="D3" s="38"/>
      <c r="E3" s="38"/>
      <c r="F3" s="39"/>
      <c r="G3" s="5" t="s">
        <v>4</v>
      </c>
      <c r="H3" s="11" t="s">
        <v>5</v>
      </c>
    </row>
    <row r="4" spans="1:8" ht="14.4" customHeight="1">
      <c r="A4" s="1"/>
      <c r="B4" s="37"/>
      <c r="C4" s="38"/>
      <c r="D4" s="38"/>
      <c r="E4" s="38"/>
      <c r="F4" s="39"/>
      <c r="G4" s="5" t="s">
        <v>6</v>
      </c>
      <c r="H4" s="12" t="s">
        <v>0</v>
      </c>
    </row>
    <row r="5" spans="1:8" ht="15" customHeight="1">
      <c r="A5" s="1"/>
      <c r="B5" s="40"/>
      <c r="C5" s="41"/>
      <c r="D5" s="41"/>
      <c r="E5" s="41"/>
      <c r="F5" s="42"/>
      <c r="G5" s="6" t="s">
        <v>7</v>
      </c>
      <c r="H5" s="13" t="s">
        <v>19</v>
      </c>
    </row>
    <row r="6" spans="1:8" ht="15" customHeight="1">
      <c r="A6" s="1"/>
      <c r="B6" s="1"/>
      <c r="C6" s="3"/>
      <c r="D6" s="3"/>
      <c r="E6" s="3"/>
      <c r="F6" s="3"/>
      <c r="G6" s="3"/>
      <c r="H6" s="3"/>
    </row>
    <row r="7" spans="1:8" ht="15" customHeight="1"/>
    <row r="8" spans="1:8" ht="15" customHeight="1">
      <c r="B8" s="16"/>
      <c r="C8" s="15"/>
      <c r="D8" s="15"/>
      <c r="E8" s="15"/>
      <c r="F8" s="15"/>
      <c r="G8" s="15"/>
    </row>
    <row r="9" spans="1:8" ht="15" customHeight="1">
      <c r="B9" s="17" t="s">
        <v>45</v>
      </c>
      <c r="C9" s="15"/>
      <c r="D9" s="15"/>
      <c r="E9" s="15"/>
      <c r="F9" s="15"/>
      <c r="G9" s="15"/>
    </row>
    <row r="10" spans="1:8" ht="15" customHeight="1">
      <c r="B10" s="15" t="s">
        <v>106</v>
      </c>
      <c r="C10" s="15"/>
      <c r="D10" s="15"/>
      <c r="E10" s="15"/>
      <c r="F10" s="15"/>
      <c r="G10" s="15"/>
    </row>
    <row r="11" spans="1:8" ht="15" customHeight="1">
      <c r="B11" s="15" t="s">
        <v>107</v>
      </c>
      <c r="C11" s="15"/>
      <c r="D11" s="15"/>
      <c r="E11" s="15"/>
      <c r="F11" s="15"/>
      <c r="G11" s="15"/>
    </row>
    <row r="12" spans="1:8" ht="15" customHeight="1">
      <c r="B12" s="15" t="s">
        <v>108</v>
      </c>
      <c r="C12" s="15"/>
      <c r="D12" s="15"/>
      <c r="E12" s="15"/>
      <c r="F12" s="15"/>
      <c r="G12" s="15"/>
    </row>
    <row r="13" spans="1:8" ht="15" customHeight="1">
      <c r="B13" s="15" t="s">
        <v>109</v>
      </c>
      <c r="C13" s="15"/>
      <c r="D13" s="15"/>
      <c r="E13" s="15"/>
      <c r="F13" s="15"/>
      <c r="G13" s="15"/>
    </row>
    <row r="14" spans="1:8" ht="15" customHeight="1">
      <c r="B14" s="15" t="s">
        <v>110</v>
      </c>
      <c r="C14" s="15"/>
      <c r="D14" s="15"/>
      <c r="E14" s="15"/>
      <c r="F14" s="15"/>
      <c r="G14" s="15"/>
    </row>
    <row r="15" spans="1:8" ht="15" customHeight="1">
      <c r="B15" s="15" t="s">
        <v>111</v>
      </c>
      <c r="C15" s="15"/>
      <c r="D15" s="15"/>
      <c r="E15" s="15"/>
      <c r="F15" s="15"/>
      <c r="G15" s="15"/>
    </row>
    <row r="16" spans="1:8" ht="15" customHeight="1">
      <c r="B16" s="15" t="s">
        <v>112</v>
      </c>
      <c r="C16" s="15"/>
      <c r="D16" s="15"/>
      <c r="E16" s="15"/>
      <c r="F16" s="15"/>
      <c r="G16" s="15"/>
    </row>
    <row r="17" spans="2:7" ht="15" customHeight="1">
      <c r="B17" s="15" t="s">
        <v>39</v>
      </c>
      <c r="C17" s="15"/>
      <c r="D17" s="15"/>
      <c r="E17" s="15"/>
      <c r="F17" s="15"/>
      <c r="G17" s="15"/>
    </row>
    <row r="18" spans="2:7" ht="15" customHeight="1">
      <c r="B18" s="15"/>
      <c r="C18" s="15"/>
      <c r="D18" s="15"/>
      <c r="E18" s="15"/>
      <c r="F18" s="15"/>
      <c r="G18" s="15"/>
    </row>
    <row r="19" spans="2:7" ht="15" customHeight="1">
      <c r="B19" s="15" t="s">
        <v>40</v>
      </c>
      <c r="C19" s="15"/>
      <c r="D19" s="15"/>
      <c r="E19" s="15"/>
      <c r="F19" s="15"/>
      <c r="G19" s="15"/>
    </row>
    <row r="20" spans="2:7" ht="15" customHeight="1">
      <c r="B20" s="27" t="s">
        <v>77</v>
      </c>
      <c r="C20" s="15"/>
      <c r="D20" s="15"/>
      <c r="E20" s="15"/>
      <c r="F20" s="15"/>
      <c r="G20" s="15"/>
    </row>
    <row r="21" spans="2:7" ht="15" customHeight="1">
      <c r="B21" s="27" t="s">
        <v>41</v>
      </c>
      <c r="C21" s="15"/>
      <c r="D21" s="15"/>
      <c r="E21" s="15"/>
      <c r="F21" s="15"/>
      <c r="G21" s="15"/>
    </row>
    <row r="22" spans="2:7" ht="15" customHeight="1">
      <c r="B22" s="27" t="s">
        <v>78</v>
      </c>
      <c r="C22" s="15"/>
      <c r="D22" s="15"/>
      <c r="E22" s="15"/>
      <c r="F22" s="15"/>
      <c r="G22" s="15"/>
    </row>
    <row r="23" spans="2:7" ht="15" customHeight="1">
      <c r="C23" s="15"/>
      <c r="D23" s="15"/>
      <c r="E23" s="15"/>
      <c r="F23" s="15"/>
      <c r="G23" s="15"/>
    </row>
    <row r="24" spans="2:7" ht="15" customHeight="1">
      <c r="B24" s="15" t="s">
        <v>146</v>
      </c>
      <c r="C24" s="15"/>
      <c r="D24" s="15"/>
      <c r="E24" s="15"/>
      <c r="F24" s="15"/>
      <c r="G24" s="15"/>
    </row>
    <row r="25" spans="2:7" ht="15" customHeight="1">
      <c r="C25" s="15"/>
      <c r="D25" s="15"/>
      <c r="E25" s="15"/>
      <c r="F25" s="15"/>
      <c r="G25" s="15"/>
    </row>
    <row r="26" spans="2:7" ht="15" customHeight="1">
      <c r="C26" s="15"/>
      <c r="D26" s="15"/>
      <c r="E26" s="15"/>
      <c r="F26" s="15"/>
      <c r="G26" s="15"/>
    </row>
    <row r="27" spans="2:7" ht="15" customHeight="1">
      <c r="C27" s="15"/>
      <c r="D27" s="15"/>
      <c r="E27" s="15"/>
      <c r="F27" s="15"/>
      <c r="G27" s="15"/>
    </row>
    <row r="28" spans="2:7" ht="15" customHeight="1">
      <c r="C28" s="15"/>
      <c r="D28" s="15"/>
      <c r="E28" s="15"/>
      <c r="F28" s="15"/>
      <c r="G28" s="15"/>
    </row>
    <row r="29" spans="2:7" ht="15" customHeight="1">
      <c r="C29" s="15"/>
      <c r="D29" s="15"/>
      <c r="E29" s="15"/>
      <c r="F29" s="15"/>
      <c r="G29" s="15"/>
    </row>
    <row r="30" spans="2:7" ht="15" customHeight="1">
      <c r="C30" s="15"/>
      <c r="D30" s="15"/>
      <c r="E30" s="15"/>
      <c r="F30" s="15"/>
      <c r="G30" s="15"/>
    </row>
    <row r="31" spans="2:7" ht="15" customHeight="1">
      <c r="C31" s="15"/>
      <c r="D31" s="15"/>
      <c r="E31" s="15"/>
      <c r="F31" s="15"/>
      <c r="G31" s="15"/>
    </row>
    <row r="33" spans="1:8" ht="15.6">
      <c r="A33" s="45" t="s">
        <v>8</v>
      </c>
      <c r="B33" s="45"/>
      <c r="C33" s="45"/>
      <c r="D33" s="2"/>
      <c r="E33" s="2"/>
      <c r="F33" s="2"/>
      <c r="G33" s="2"/>
      <c r="H33" s="2"/>
    </row>
    <row r="34" spans="1:8">
      <c r="A34" s="10" t="s">
        <v>10</v>
      </c>
      <c r="B34" s="10" t="s">
        <v>1</v>
      </c>
      <c r="C34" s="10" t="s">
        <v>12</v>
      </c>
      <c r="D34" s="49" t="s">
        <v>11</v>
      </c>
      <c r="E34" s="49"/>
      <c r="F34" s="10" t="s">
        <v>14</v>
      </c>
      <c r="G34" s="49" t="s">
        <v>11</v>
      </c>
      <c r="H34" s="49"/>
    </row>
    <row r="35" spans="1:8" ht="15" customHeight="1">
      <c r="A35" s="7" t="s">
        <v>16</v>
      </c>
      <c r="B35" s="8" t="s">
        <v>9</v>
      </c>
      <c r="C35" s="14" t="s">
        <v>18</v>
      </c>
      <c r="D35" s="50" t="s">
        <v>19</v>
      </c>
      <c r="E35" s="51"/>
      <c r="F35" s="14" t="s">
        <v>49</v>
      </c>
      <c r="G35" s="46" t="s">
        <v>50</v>
      </c>
      <c r="H35" s="47"/>
    </row>
    <row r="36" spans="1:8">
      <c r="A36" s="7"/>
      <c r="B36" s="7"/>
      <c r="C36" s="7"/>
      <c r="D36" s="52"/>
      <c r="E36" s="52"/>
      <c r="F36" s="9"/>
      <c r="G36" s="48"/>
      <c r="H36" s="48"/>
    </row>
    <row r="37" spans="1:8">
      <c r="A37" s="7"/>
      <c r="B37" s="7"/>
      <c r="C37" s="7"/>
      <c r="D37" s="52"/>
      <c r="E37" s="52"/>
      <c r="F37" s="9"/>
      <c r="G37" s="48"/>
      <c r="H37" s="48"/>
    </row>
    <row r="38" spans="1:8">
      <c r="A38" s="43" t="s">
        <v>13</v>
      </c>
      <c r="B38" s="43"/>
      <c r="C38" s="44" t="s">
        <v>17</v>
      </c>
      <c r="D38" s="44"/>
      <c r="E38" s="44"/>
      <c r="F38" s="44"/>
      <c r="G38" s="44"/>
      <c r="H38" s="44"/>
    </row>
  </sheetData>
  <mergeCells count="12">
    <mergeCell ref="B2:F5"/>
    <mergeCell ref="A38:B38"/>
    <mergeCell ref="C38:H38"/>
    <mergeCell ref="A33:C33"/>
    <mergeCell ref="G35:H35"/>
    <mergeCell ref="G36:H36"/>
    <mergeCell ref="G37:H37"/>
    <mergeCell ref="D34:E34"/>
    <mergeCell ref="D35:E35"/>
    <mergeCell ref="D36:E36"/>
    <mergeCell ref="D37:E37"/>
    <mergeCell ref="G34:H34"/>
  </mergeCells>
  <pageMargins left="0.26736111111111099" right="0.13611111111111099" top="0.62777777777777799" bottom="0.72569444444444398" header="0.36249999999999999" footer="0.46041666666666697"/>
  <pageSetup paperSize="9" scale="70" firstPageNumber="0" orientation="landscape" r:id="rId1"/>
  <headerFooter>
    <oddHeader>&amp;C&amp;"Times New Roman,Normal"&amp;12&amp;A</oddHeader>
    <oddFooter>&amp;C&amp;"Times New Roman,Normal"&amp;12Página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0D3F8-F775-43AE-8A11-D8766DF6D1A8}">
  <sheetPr codeName="Sheet2"/>
  <dimension ref="A1:O24"/>
  <sheetViews>
    <sheetView tabSelected="1" topLeftCell="A4" zoomScale="70" zoomScaleNormal="70" workbookViewId="0">
      <selection activeCell="A5" sqref="A5"/>
    </sheetView>
  </sheetViews>
  <sheetFormatPr defaultRowHeight="14.4"/>
  <cols>
    <col min="1" max="1" width="34.21875" customWidth="1"/>
    <col min="2" max="2" width="8.44140625" bestFit="1" customWidth="1"/>
    <col min="3" max="3" width="14.77734375" customWidth="1"/>
    <col min="4" max="4" width="75.77734375" customWidth="1"/>
    <col min="5" max="5" width="12.44140625" customWidth="1"/>
    <col min="6" max="6" width="19.44140625" customWidth="1"/>
    <col min="7" max="7" width="21.6640625" customWidth="1"/>
    <col min="8" max="8" width="13" customWidth="1"/>
    <col min="10" max="10" width="19.88671875" customWidth="1"/>
    <col min="11" max="11" width="21.88671875" customWidth="1"/>
    <col min="12" max="14" width="22.109375" customWidth="1"/>
    <col min="15" max="15" width="14.88671875" bestFit="1" customWidth="1"/>
  </cols>
  <sheetData>
    <row r="1" spans="1:15" ht="28.8">
      <c r="A1" s="30" t="s">
        <v>81</v>
      </c>
      <c r="B1" s="18" t="s">
        <v>46</v>
      </c>
      <c r="C1" s="19" t="s">
        <v>21</v>
      </c>
      <c r="D1" s="19" t="s">
        <v>20</v>
      </c>
      <c r="E1" s="19" t="s">
        <v>22</v>
      </c>
      <c r="F1" s="19" t="s">
        <v>24</v>
      </c>
      <c r="G1" s="19" t="s">
        <v>25</v>
      </c>
      <c r="H1" s="19" t="s">
        <v>33</v>
      </c>
      <c r="I1" s="19" t="s">
        <v>37</v>
      </c>
      <c r="J1" s="20" t="s">
        <v>79</v>
      </c>
      <c r="K1" s="20" t="s">
        <v>80</v>
      </c>
      <c r="M1" s="20" t="s">
        <v>162</v>
      </c>
      <c r="N1" s="29"/>
    </row>
    <row r="2" spans="1:15" ht="43.2">
      <c r="A2">
        <f>SUM(Table13[User Story flag])</f>
        <v>3211424</v>
      </c>
      <c r="B2" s="21" t="s">
        <v>53</v>
      </c>
      <c r="C2" s="22" t="s">
        <v>101</v>
      </c>
      <c r="D2" s="22" t="s">
        <v>103</v>
      </c>
      <c r="E2" s="25"/>
      <c r="F2" s="25"/>
      <c r="G2" s="23" t="s">
        <v>102</v>
      </c>
      <c r="H2" s="22" t="s">
        <v>34</v>
      </c>
      <c r="I2" s="22" t="s">
        <v>113</v>
      </c>
      <c r="J2" s="29">
        <v>1</v>
      </c>
      <c r="K2" s="29">
        <f>IF(Table13[[#This Row],[Selected (X)]]="X",2^(Table13[[#This Row],[User Story number]]-1),0)</f>
        <v>0</v>
      </c>
      <c r="L2" s="28"/>
      <c r="M2" s="29" t="s">
        <v>164</v>
      </c>
      <c r="N2" s="29"/>
      <c r="O2" s="28"/>
    </row>
    <row r="3" spans="1:15" ht="409.6">
      <c r="A3" s="33" t="s">
        <v>167</v>
      </c>
      <c r="B3" s="21" t="s">
        <v>54</v>
      </c>
      <c r="C3" s="22" t="s">
        <v>131</v>
      </c>
      <c r="D3" s="22" t="s">
        <v>132</v>
      </c>
      <c r="E3" s="25"/>
      <c r="F3" s="25"/>
      <c r="G3" s="23" t="s">
        <v>136</v>
      </c>
      <c r="H3" s="22" t="s">
        <v>34</v>
      </c>
      <c r="I3" s="22" t="s">
        <v>114</v>
      </c>
      <c r="J3" s="29">
        <v>2</v>
      </c>
      <c r="K3" s="29">
        <f>IF(Table13[[#This Row],[Selected (X)]]="X",2^(Table13[[#This Row],[User Story number]]-1),0)</f>
        <v>0</v>
      </c>
      <c r="L3" s="29"/>
      <c r="M3" s="29"/>
      <c r="N3" s="29"/>
      <c r="O3" s="28"/>
    </row>
    <row r="4" spans="1:15" ht="216">
      <c r="A4" t="s">
        <v>165</v>
      </c>
      <c r="B4" s="21" t="s">
        <v>55</v>
      </c>
      <c r="C4" s="22" t="s">
        <v>23</v>
      </c>
      <c r="D4" s="22" t="s">
        <v>27</v>
      </c>
      <c r="E4" s="25"/>
      <c r="F4" s="25"/>
      <c r="G4" s="23" t="s">
        <v>159</v>
      </c>
      <c r="H4" s="22" t="s">
        <v>34</v>
      </c>
      <c r="I4" s="22" t="s">
        <v>115</v>
      </c>
      <c r="J4" s="29">
        <v>3</v>
      </c>
      <c r="K4" s="29">
        <f>IF(Table13[[#This Row],[Selected (X)]]="X",2^(Table13[[#This Row],[User Story number]]-1),0)</f>
        <v>0</v>
      </c>
      <c r="L4" s="29"/>
      <c r="M4" s="29"/>
      <c r="N4" s="29"/>
      <c r="O4" s="28"/>
    </row>
    <row r="5" spans="1:15">
      <c r="A5" t="s">
        <v>166</v>
      </c>
      <c r="B5" s="21" t="s">
        <v>56</v>
      </c>
      <c r="C5" s="22" t="s">
        <v>86</v>
      </c>
      <c r="D5" s="22" t="s">
        <v>85</v>
      </c>
      <c r="E5" s="25"/>
      <c r="F5" s="25"/>
      <c r="G5" s="22" t="s">
        <v>89</v>
      </c>
      <c r="H5" s="22" t="s">
        <v>35</v>
      </c>
      <c r="I5" s="22" t="s">
        <v>116</v>
      </c>
      <c r="J5" s="29">
        <v>4</v>
      </c>
      <c r="K5" s="29">
        <f>IF(Table13[[#This Row],[Selected (X)]]="X",2^(Table13[[#This Row],[User Story number]]-1),0)</f>
        <v>0</v>
      </c>
      <c r="L5" s="28"/>
      <c r="M5" s="29"/>
      <c r="N5" s="29"/>
      <c r="O5" s="28"/>
    </row>
    <row r="6" spans="1:15" ht="87" customHeight="1">
      <c r="B6" s="21" t="s">
        <v>57</v>
      </c>
      <c r="C6" s="22" t="s">
        <v>88</v>
      </c>
      <c r="D6" s="22" t="s">
        <v>125</v>
      </c>
      <c r="E6" s="25"/>
      <c r="F6" s="25"/>
      <c r="G6" s="23" t="s">
        <v>105</v>
      </c>
      <c r="H6" s="22" t="s">
        <v>34</v>
      </c>
      <c r="I6" s="22" t="s">
        <v>117</v>
      </c>
      <c r="J6" s="29">
        <v>5</v>
      </c>
      <c r="K6" s="29">
        <f>IF(Table13[[#This Row],[Selected (X)]]="X",2^(Table13[[#This Row],[User Story number]]-1),0)</f>
        <v>0</v>
      </c>
      <c r="L6" s="28"/>
      <c r="M6" s="29"/>
      <c r="N6" s="29"/>
      <c r="O6" s="28"/>
    </row>
    <row r="7" spans="1:15" ht="48.6" customHeight="1">
      <c r="B7" s="21" t="s">
        <v>58</v>
      </c>
      <c r="C7" s="22" t="s">
        <v>28</v>
      </c>
      <c r="D7" s="22" t="s">
        <v>97</v>
      </c>
      <c r="E7" s="25" t="s">
        <v>163</v>
      </c>
      <c r="F7" s="25"/>
      <c r="G7" s="22" t="s">
        <v>26</v>
      </c>
      <c r="H7" s="22" t="s">
        <v>34</v>
      </c>
      <c r="I7" s="22" t="s">
        <v>38</v>
      </c>
      <c r="J7" s="29">
        <v>6</v>
      </c>
      <c r="K7" s="29">
        <f>IF(Table13[[#This Row],[Selected (X)]]="X",2^(Table13[[#This Row],[User Story number]]-1),0)</f>
        <v>32</v>
      </c>
      <c r="L7" s="28"/>
      <c r="M7" s="29"/>
      <c r="N7" s="29"/>
      <c r="O7" s="28"/>
    </row>
    <row r="8" spans="1:15" ht="199.8" customHeight="1">
      <c r="B8" s="21" t="s">
        <v>59</v>
      </c>
      <c r="C8" s="22" t="s">
        <v>29</v>
      </c>
      <c r="D8" s="22" t="s">
        <v>98</v>
      </c>
      <c r="E8" s="25"/>
      <c r="F8" s="25"/>
      <c r="G8" s="23" t="s">
        <v>104</v>
      </c>
      <c r="H8" s="22" t="s">
        <v>34</v>
      </c>
      <c r="I8" s="22" t="s">
        <v>118</v>
      </c>
      <c r="J8" s="29">
        <v>7</v>
      </c>
      <c r="K8" s="29">
        <f>IF(Table13[[#This Row],[Selected (X)]]="X",2^(Table13[[#This Row],[User Story number]]-1),0)</f>
        <v>0</v>
      </c>
      <c r="L8" s="28"/>
      <c r="M8" s="29"/>
      <c r="N8" s="29"/>
      <c r="O8" s="28"/>
    </row>
    <row r="9" spans="1:15" ht="129.6">
      <c r="B9" s="21" t="s">
        <v>60</v>
      </c>
      <c r="C9" s="22" t="s">
        <v>95</v>
      </c>
      <c r="D9" s="22" t="s">
        <v>96</v>
      </c>
      <c r="E9" s="25" t="s">
        <v>163</v>
      </c>
      <c r="F9" s="25">
        <v>2</v>
      </c>
      <c r="G9" s="23" t="s">
        <v>160</v>
      </c>
      <c r="H9" s="22" t="s">
        <v>34</v>
      </c>
      <c r="I9" s="22" t="s">
        <v>119</v>
      </c>
      <c r="J9" s="29">
        <v>8</v>
      </c>
      <c r="K9" s="29">
        <f>IF(Table13[[#This Row],[Selected (X)]]="X",2^(Table13[[#This Row],[User Story number]]-1),0)</f>
        <v>128</v>
      </c>
      <c r="L9" s="28"/>
      <c r="M9" s="29"/>
      <c r="N9" s="29"/>
      <c r="O9" s="28"/>
    </row>
    <row r="10" spans="1:15" ht="43.2">
      <c r="B10" s="21" t="s">
        <v>61</v>
      </c>
      <c r="C10" s="22" t="s">
        <v>47</v>
      </c>
      <c r="D10" s="22" t="s">
        <v>161</v>
      </c>
      <c r="E10" s="25"/>
      <c r="F10" s="25"/>
      <c r="G10" s="23" t="s">
        <v>127</v>
      </c>
      <c r="H10" s="22" t="s">
        <v>34</v>
      </c>
      <c r="I10" s="22" t="s">
        <v>48</v>
      </c>
      <c r="J10" s="29">
        <v>9</v>
      </c>
      <c r="K10" s="29">
        <f>IF(Table13[[#This Row],[Selected (X)]]="X",2^(Table13[[#This Row],[User Story number]]-1),0)</f>
        <v>0</v>
      </c>
      <c r="L10" s="28"/>
      <c r="M10" s="29"/>
      <c r="N10" s="29"/>
      <c r="O10" s="28"/>
    </row>
    <row r="11" spans="1:15" ht="66.599999999999994" customHeight="1">
      <c r="B11" s="21" t="s">
        <v>62</v>
      </c>
      <c r="C11" s="22" t="s">
        <v>30</v>
      </c>
      <c r="D11" s="22" t="s">
        <v>31</v>
      </c>
      <c r="E11" s="25"/>
      <c r="F11" s="25"/>
      <c r="G11" s="22" t="s">
        <v>32</v>
      </c>
      <c r="H11" s="22" t="s">
        <v>35</v>
      </c>
      <c r="I11" s="22" t="s">
        <v>120</v>
      </c>
      <c r="J11" s="29">
        <v>10</v>
      </c>
      <c r="K11" s="29">
        <f>IF(Table13[[#This Row],[Selected (X)]]="X",2^(Table13[[#This Row],[User Story number]]-1),0)</f>
        <v>0</v>
      </c>
      <c r="L11" s="28"/>
      <c r="M11" s="29"/>
      <c r="N11" s="29"/>
      <c r="O11" s="28"/>
    </row>
    <row r="12" spans="1:15" ht="58.2" customHeight="1">
      <c r="B12" s="21" t="s">
        <v>63</v>
      </c>
      <c r="C12" s="22" t="s">
        <v>138</v>
      </c>
      <c r="D12" s="22" t="s">
        <v>139</v>
      </c>
      <c r="E12" s="25"/>
      <c r="F12" s="25"/>
      <c r="G12" s="23" t="s">
        <v>140</v>
      </c>
      <c r="H12" s="22" t="s">
        <v>35</v>
      </c>
      <c r="I12" s="22" t="s">
        <v>141</v>
      </c>
      <c r="J12" s="29">
        <v>11</v>
      </c>
      <c r="K12" s="29">
        <f>IF(Table13[[#This Row],[Selected (X)]]="X",2^(Table13[[#This Row],[User Story number]]-1),0)</f>
        <v>0</v>
      </c>
      <c r="L12" s="28"/>
      <c r="M12" s="29"/>
      <c r="N12" s="29"/>
      <c r="O12" s="28"/>
    </row>
    <row r="13" spans="1:15" ht="28.8">
      <c r="B13" s="21" t="s">
        <v>64</v>
      </c>
      <c r="C13" s="22" t="s">
        <v>42</v>
      </c>
      <c r="D13" s="22" t="s">
        <v>44</v>
      </c>
      <c r="E13" s="25"/>
      <c r="F13" s="25"/>
      <c r="G13" s="22" t="s">
        <v>26</v>
      </c>
      <c r="H13" s="22" t="s">
        <v>35</v>
      </c>
      <c r="I13" s="22" t="s">
        <v>75</v>
      </c>
      <c r="J13" s="29">
        <v>12</v>
      </c>
      <c r="K13" s="29">
        <f>IF(Table13[[#This Row],[Selected (X)]]="X",2^(Table13[[#This Row],[User Story number]]-1),0)</f>
        <v>0</v>
      </c>
      <c r="L13" s="28"/>
      <c r="M13" s="29"/>
      <c r="N13" s="29"/>
      <c r="O13" s="28"/>
    </row>
    <row r="14" spans="1:15" ht="43.2">
      <c r="B14" s="21" t="s">
        <v>65</v>
      </c>
      <c r="C14" s="22" t="s">
        <v>36</v>
      </c>
      <c r="D14" s="22" t="s">
        <v>43</v>
      </c>
      <c r="E14" s="25"/>
      <c r="F14" s="25"/>
      <c r="G14" s="22" t="s">
        <v>26</v>
      </c>
      <c r="H14" s="22" t="s">
        <v>35</v>
      </c>
      <c r="I14" s="22" t="s">
        <v>76</v>
      </c>
      <c r="J14" s="29">
        <v>13</v>
      </c>
      <c r="K14" s="29">
        <f>IF(Table13[[#This Row],[Selected (X)]]="X",2^(Table13[[#This Row],[User Story number]]-1),0)</f>
        <v>0</v>
      </c>
      <c r="L14" s="28"/>
      <c r="M14" s="29"/>
      <c r="N14" s="29"/>
      <c r="O14" s="28"/>
    </row>
    <row r="15" spans="1:15" ht="28.8">
      <c r="B15" s="21" t="s">
        <v>66</v>
      </c>
      <c r="C15" s="22" t="s">
        <v>129</v>
      </c>
      <c r="D15" s="22" t="s">
        <v>130</v>
      </c>
      <c r="E15" s="25"/>
      <c r="F15" s="25"/>
      <c r="G15" s="23" t="s">
        <v>151</v>
      </c>
      <c r="H15" s="22" t="s">
        <v>34</v>
      </c>
      <c r="I15" s="22" t="s">
        <v>128</v>
      </c>
      <c r="J15" s="29">
        <v>14</v>
      </c>
      <c r="K15" s="29">
        <f>IF(Table13[[#This Row],[Selected (X)]]="X",2^(Table13[[#This Row],[User Story number]]-1),0)</f>
        <v>0</v>
      </c>
      <c r="L15" s="28"/>
      <c r="M15" s="29"/>
      <c r="N15" s="29"/>
      <c r="O15" s="28"/>
    </row>
    <row r="16" spans="1:15" ht="99.6" customHeight="1">
      <c r="B16" s="21" t="s">
        <v>67</v>
      </c>
      <c r="C16" s="22" t="s">
        <v>133</v>
      </c>
      <c r="D16" s="22" t="s">
        <v>137</v>
      </c>
      <c r="E16" s="25"/>
      <c r="F16" s="25"/>
      <c r="G16" s="22" t="s">
        <v>152</v>
      </c>
      <c r="H16" s="22" t="s">
        <v>35</v>
      </c>
      <c r="I16" s="22" t="s">
        <v>134</v>
      </c>
      <c r="J16" s="29">
        <v>15</v>
      </c>
      <c r="K16" s="29">
        <f>IF(Table13[[#This Row],[Selected (X)]]="X",2^(Table13[[#This Row],[User Story number]]-1),0)</f>
        <v>0</v>
      </c>
      <c r="L16" s="28"/>
      <c r="M16" s="29"/>
      <c r="N16" s="29"/>
      <c r="O16" s="28"/>
    </row>
    <row r="17" spans="2:15" ht="28.8">
      <c r="B17" s="21" t="s">
        <v>68</v>
      </c>
      <c r="C17" s="22" t="s">
        <v>142</v>
      </c>
      <c r="D17" s="22" t="s">
        <v>143</v>
      </c>
      <c r="E17" s="25"/>
      <c r="F17" s="25"/>
      <c r="G17" s="23" t="s">
        <v>144</v>
      </c>
      <c r="H17" s="22" t="s">
        <v>35</v>
      </c>
      <c r="I17" s="22" t="s">
        <v>145</v>
      </c>
      <c r="J17" s="29">
        <v>16</v>
      </c>
      <c r="K17" s="29">
        <f>IF(Table13[[#This Row],[Selected (X)]]="X",2^(Table13[[#This Row],[User Story number]]-1),0)</f>
        <v>0</v>
      </c>
      <c r="L17" s="28"/>
      <c r="M17" s="29"/>
      <c r="N17" s="29"/>
      <c r="O17" s="28"/>
    </row>
    <row r="18" spans="2:15" ht="201.6">
      <c r="B18" s="21" t="s">
        <v>69</v>
      </c>
      <c r="C18" s="22" t="s">
        <v>84</v>
      </c>
      <c r="D18" s="22" t="s">
        <v>93</v>
      </c>
      <c r="E18" s="25" t="s">
        <v>163</v>
      </c>
      <c r="F18" s="25">
        <v>7</v>
      </c>
      <c r="G18" s="23" t="s">
        <v>135</v>
      </c>
      <c r="H18" s="22" t="s">
        <v>35</v>
      </c>
      <c r="I18" s="22" t="s">
        <v>126</v>
      </c>
      <c r="J18" s="29">
        <v>17</v>
      </c>
      <c r="K18" s="29">
        <f>IF(Table13[[#This Row],[Selected (X)]]="X",2^(Table13[[#This Row],[User Story number]]-1),0)</f>
        <v>65536</v>
      </c>
      <c r="L18" s="28"/>
      <c r="M18" s="29"/>
      <c r="N18" s="29"/>
      <c r="O18" s="28"/>
    </row>
    <row r="19" spans="2:15" ht="28.8">
      <c r="B19" s="21" t="s">
        <v>70</v>
      </c>
      <c r="C19" s="22" t="s">
        <v>90</v>
      </c>
      <c r="D19" s="22" t="s">
        <v>92</v>
      </c>
      <c r="E19" s="25"/>
      <c r="F19" s="25"/>
      <c r="G19" s="23" t="s">
        <v>91</v>
      </c>
      <c r="H19" s="22" t="s">
        <v>26</v>
      </c>
      <c r="I19" s="22" t="s">
        <v>121</v>
      </c>
      <c r="J19" s="29">
        <v>18</v>
      </c>
      <c r="K19" s="29">
        <f>IF(Table13[[#This Row],[Selected (X)]]="X",2^(Table13[[#This Row],[User Story number]]-1),0)</f>
        <v>0</v>
      </c>
      <c r="L19" s="28"/>
      <c r="M19" s="29"/>
      <c r="N19" s="29"/>
      <c r="O19" s="28"/>
    </row>
    <row r="20" spans="2:15">
      <c r="B20" s="21" t="s">
        <v>71</v>
      </c>
      <c r="C20" s="24" t="s">
        <v>147</v>
      </c>
      <c r="D20" s="24" t="s">
        <v>148</v>
      </c>
      <c r="E20" s="26"/>
      <c r="F20" s="26"/>
      <c r="G20" s="32" t="s">
        <v>149</v>
      </c>
      <c r="H20" s="24" t="s">
        <v>26</v>
      </c>
      <c r="I20" s="24" t="s">
        <v>150</v>
      </c>
      <c r="J20" s="29">
        <v>19</v>
      </c>
      <c r="K20" s="29">
        <f>IF(Table13[[#This Row],[Selected (X)]]="X",2^(Table13[[#This Row],[User Story number]]-1),0)</f>
        <v>0</v>
      </c>
      <c r="L20" s="28"/>
      <c r="M20" s="29"/>
      <c r="N20" s="29"/>
      <c r="O20" s="28"/>
    </row>
    <row r="21" spans="2:15" ht="57.6">
      <c r="B21" s="21" t="s">
        <v>72</v>
      </c>
      <c r="C21" s="24" t="s">
        <v>51</v>
      </c>
      <c r="D21" s="24" t="s">
        <v>52</v>
      </c>
      <c r="E21" s="26"/>
      <c r="F21" s="26"/>
      <c r="G21" s="32" t="s">
        <v>94</v>
      </c>
      <c r="H21" s="24" t="s">
        <v>34</v>
      </c>
      <c r="I21" s="24" t="s">
        <v>122</v>
      </c>
      <c r="J21" s="29">
        <v>20</v>
      </c>
      <c r="K21" s="29">
        <f>IF(Table13[[#This Row],[Selected (X)]]="X",2^(Table13[[#This Row],[User Story number]]-1),0)</f>
        <v>0</v>
      </c>
      <c r="L21" s="28"/>
      <c r="M21" s="29"/>
      <c r="N21" s="29"/>
      <c r="O21" s="28"/>
    </row>
    <row r="22" spans="2:15" ht="57.6">
      <c r="B22" s="21" t="s">
        <v>73</v>
      </c>
      <c r="C22" s="22" t="s">
        <v>74</v>
      </c>
      <c r="D22" s="22" t="s">
        <v>99</v>
      </c>
      <c r="E22" s="25" t="s">
        <v>163</v>
      </c>
      <c r="F22" s="25">
        <v>2</v>
      </c>
      <c r="G22" s="23" t="s">
        <v>158</v>
      </c>
      <c r="H22" s="22" t="s">
        <v>35</v>
      </c>
      <c r="I22" s="22" t="s">
        <v>123</v>
      </c>
      <c r="J22" s="29">
        <v>21</v>
      </c>
      <c r="K22" s="29">
        <f>IF(Table13[[#This Row],[Selected (X)]]="X",2^(Table13[[#This Row],[User Story number]]-1),0)</f>
        <v>1048576</v>
      </c>
      <c r="L22" s="28"/>
      <c r="M22" s="29"/>
      <c r="N22" s="29"/>
      <c r="O22" s="28"/>
    </row>
    <row r="23" spans="2:15" ht="129.6">
      <c r="B23" s="21" t="s">
        <v>82</v>
      </c>
      <c r="C23" s="24" t="s">
        <v>87</v>
      </c>
      <c r="D23" s="24" t="s">
        <v>100</v>
      </c>
      <c r="E23" s="26" t="s">
        <v>163</v>
      </c>
      <c r="F23" s="26">
        <v>2</v>
      </c>
      <c r="G23" s="32" t="s">
        <v>157</v>
      </c>
      <c r="H23" s="24" t="s">
        <v>35</v>
      </c>
      <c r="I23" s="24" t="s">
        <v>124</v>
      </c>
      <c r="J23" s="29">
        <v>22</v>
      </c>
      <c r="K23" s="29">
        <f>IF(Table13[[#This Row],[Selected (X)]]="X",2^(Table13[[#This Row],[User Story number]]-1),0)</f>
        <v>2097152</v>
      </c>
      <c r="L23" s="28"/>
      <c r="M23" s="29"/>
      <c r="N23" s="29"/>
      <c r="O23" s="28"/>
    </row>
    <row r="24" spans="2:15" ht="43.2">
      <c r="B24" s="21" t="s">
        <v>83</v>
      </c>
      <c r="C24" s="22" t="s">
        <v>153</v>
      </c>
      <c r="D24" s="22" t="s">
        <v>154</v>
      </c>
      <c r="E24" s="25"/>
      <c r="F24" s="25"/>
      <c r="G24" s="23" t="s">
        <v>156</v>
      </c>
      <c r="H24" s="22" t="s">
        <v>34</v>
      </c>
      <c r="I24" s="22" t="s">
        <v>155</v>
      </c>
      <c r="J24" s="28">
        <v>23</v>
      </c>
      <c r="K24" s="31">
        <f>IF(Table13[[#This Row],[Selected (X)]]="X",2^(Table13[[#This Row],[User Story number]]-1),0)</f>
        <v>0</v>
      </c>
      <c r="L24" s="28"/>
      <c r="M24" s="28"/>
      <c r="N24" s="31"/>
      <c r="O24" s="28"/>
    </row>
  </sheetData>
  <phoneticPr fontId="13" type="noConversion"/>
  <conditionalFormatting sqref="E2:E24">
    <cfRule type="cellIs" dxfId="17" priority="4" operator="equal">
      <formula>"X"</formula>
    </cfRule>
  </conditionalFormatting>
  <conditionalFormatting sqref="F2:F24">
    <cfRule type="expression" dxfId="16" priority="2">
      <formula>G2="-"</formula>
    </cfRule>
    <cfRule type="expression" dxfId="15" priority="3">
      <formula>AND(E2="X",F2="")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nfirmBut">
          <controlPr defaultSize="0" autoLine="0" r:id="rId5">
            <anchor moveWithCells="1">
              <from>
                <xdr:col>0</xdr:col>
                <xdr:colOff>38100</xdr:colOff>
                <xdr:row>3</xdr:row>
                <xdr:rowOff>68580</xdr:rowOff>
              </from>
              <to>
                <xdr:col>0</xdr:col>
                <xdr:colOff>1409700</xdr:colOff>
                <xdr:row>3</xdr:row>
                <xdr:rowOff>685800</xdr:rowOff>
              </to>
            </anchor>
          </controlPr>
        </control>
      </mc:Choice>
      <mc:Fallback>
        <control shapeId="2049" r:id="rId4" name="ConfirmBut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4</xdr:col>
                <xdr:colOff>251460</xdr:colOff>
                <xdr:row>24</xdr:row>
                <xdr:rowOff>76200</xdr:rowOff>
              </from>
              <to>
                <xdr:col>5</xdr:col>
                <xdr:colOff>769620</xdr:colOff>
                <xdr:row>27</xdr:row>
                <xdr:rowOff>144780</xdr:rowOff>
              </to>
            </anchor>
          </controlPr>
        </control>
      </mc:Choice>
      <mc:Fallback>
        <control shapeId="2051" r:id="rId6" name="CommandButton1"/>
      </mc:Fallback>
    </mc:AlternateContent>
  </controls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61</TotalTime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User Stories Cover</vt:lpstr>
      <vt:lpstr>User Stories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Soares</dc:creator>
  <cp:lastModifiedBy>Luís  Encerrabodes</cp:lastModifiedBy>
  <cp:revision>28</cp:revision>
  <cp:lastPrinted>2019-08-28T12:59:42Z</cp:lastPrinted>
  <dcterms:created xsi:type="dcterms:W3CDTF">2006-09-16T00:00:00Z</dcterms:created>
  <dcterms:modified xsi:type="dcterms:W3CDTF">2021-09-02T11:39:02Z</dcterms:modified>
  <dc:language>pt-PT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